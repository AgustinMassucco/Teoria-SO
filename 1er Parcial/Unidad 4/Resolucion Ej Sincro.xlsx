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B\Desktop\UTN\Lunes\Clase 6 - Sincronizacion\"/>
    </mc:Choice>
  </mc:AlternateContent>
  <xr:revisionPtr revIDLastSave="0" documentId="13_ncr:1_{CBFDAA75-E9C3-4D89-8ACC-02EE4D5E2214}" xr6:coauthVersionLast="47" xr6:coauthVersionMax="47" xr10:uidLastSave="{00000000-0000-0000-0000-000000000000}"/>
  <bookViews>
    <workbookView xWindow="-108" yWindow="-108" windowWidth="23256" windowHeight="12576" xr2:uid="{61B1AFD2-5138-4516-A590-AF37383C05B4}"/>
  </bookViews>
  <sheets>
    <sheet name="Ej 1" sheetId="1" r:id="rId1"/>
    <sheet name="Ej 2" sheetId="2" r:id="rId2"/>
    <sheet name="Ej. 3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" i="1" l="1"/>
  <c r="K7" i="1"/>
  <c r="J7" i="1"/>
  <c r="I7" i="1"/>
  <c r="H7" i="1"/>
</calcChain>
</file>

<file path=xl/sharedStrings.xml><?xml version="1.0" encoding="utf-8"?>
<sst xmlns="http://schemas.openxmlformats.org/spreadsheetml/2006/main" count="270" uniqueCount="162">
  <si>
    <t>Proceso A</t>
  </si>
  <si>
    <t>Proceso B</t>
  </si>
  <si>
    <t>Proceso C</t>
  </si>
  <si>
    <t>Proceso D</t>
  </si>
  <si>
    <t>Down(A)</t>
  </si>
  <si>
    <t>Up(B)</t>
  </si>
  <si>
    <t>Down ( C)</t>
  </si>
  <si>
    <t>Up (A )</t>
  </si>
  <si>
    <t>Down(E)</t>
  </si>
  <si>
    <t>Down( C)</t>
  </si>
  <si>
    <t>Up (E)</t>
  </si>
  <si>
    <t>Down ( B)</t>
  </si>
  <si>
    <t>Down ( E)</t>
  </si>
  <si>
    <t>Up (C)</t>
  </si>
  <si>
    <t>Up (D )</t>
  </si>
  <si>
    <t>Up (D)</t>
  </si>
  <si>
    <t>Down ( A)</t>
  </si>
  <si>
    <t>Down(B)</t>
  </si>
  <si>
    <t>Up (E )</t>
  </si>
  <si>
    <t>Tiempo</t>
  </si>
  <si>
    <t>Proceso</t>
  </si>
  <si>
    <t>Running</t>
  </si>
  <si>
    <t>A</t>
  </si>
  <si>
    <t>B</t>
  </si>
  <si>
    <t>C</t>
  </si>
  <si>
    <t>D</t>
  </si>
  <si>
    <t>E</t>
  </si>
  <si>
    <t>SEMAFOROS</t>
  </si>
  <si>
    <t>Cola de Semaforo</t>
  </si>
  <si>
    <t>Estado</t>
  </si>
  <si>
    <t>-</t>
  </si>
  <si>
    <t>INIT</t>
  </si>
  <si>
    <t>Semáforo A</t>
  </si>
  <si>
    <t>Semáforo B</t>
  </si>
  <si>
    <t>Semáforo C</t>
  </si>
  <si>
    <t>Semáforo D</t>
  </si>
  <si>
    <t>Semáforo E</t>
  </si>
  <si>
    <t>B=5</t>
  </si>
  <si>
    <t>A=4</t>
  </si>
  <si>
    <t>C=3</t>
  </si>
  <si>
    <t>D=1</t>
  </si>
  <si>
    <t>E=1</t>
  </si>
  <si>
    <t>T1</t>
  </si>
  <si>
    <t>PA</t>
  </si>
  <si>
    <t>DOWN Y UP TOMAN UN TIEMPO T</t>
  </si>
  <si>
    <t>D(A)</t>
  </si>
  <si>
    <t>T2</t>
  </si>
  <si>
    <t>D(E)</t>
  </si>
  <si>
    <t>T3</t>
  </si>
  <si>
    <t>E={PA}</t>
  </si>
  <si>
    <t>PA BLOQ</t>
  </si>
  <si>
    <t>T4</t>
  </si>
  <si>
    <t>PB</t>
  </si>
  <si>
    <t>U(B)</t>
  </si>
  <si>
    <t>T5</t>
  </si>
  <si>
    <t>D( C )</t>
  </si>
  <si>
    <t>T6</t>
  </si>
  <si>
    <t>T7</t>
  </si>
  <si>
    <t>U (D)</t>
  </si>
  <si>
    <t>T8</t>
  </si>
  <si>
    <t>C=[PB]</t>
  </si>
  <si>
    <t>PB BLOQ</t>
  </si>
  <si>
    <t>T9</t>
  </si>
  <si>
    <t>PC</t>
  </si>
  <si>
    <t>C=[PB,PC]</t>
  </si>
  <si>
    <t>PC BLOQ</t>
  </si>
  <si>
    <t>T10</t>
  </si>
  <si>
    <t>PD</t>
  </si>
  <si>
    <t>U(A)</t>
  </si>
  <si>
    <t>T11</t>
  </si>
  <si>
    <t>D(B)</t>
  </si>
  <si>
    <t>T12</t>
  </si>
  <si>
    <t>E={PA,PD}</t>
  </si>
  <si>
    <t>PD BLOQ</t>
  </si>
  <si>
    <t>Tiempo en quantum</t>
  </si>
  <si>
    <t>UP/DOWN</t>
  </si>
  <si>
    <t>Leer/Escribir</t>
  </si>
  <si>
    <t>Ejecutar</t>
  </si>
  <si>
    <t>PROCESO 1</t>
  </si>
  <si>
    <t>PROCESO 2</t>
  </si>
  <si>
    <t>PROCESO 3</t>
  </si>
  <si>
    <t>DOWN(A)</t>
  </si>
  <si>
    <t>DOWN(B)</t>
  </si>
  <si>
    <t>DOWN(C)</t>
  </si>
  <si>
    <t>UP(C)</t>
  </si>
  <si>
    <t>Ejecutar(func2)</t>
  </si>
  <si>
    <t>Leer(archivoA,x)</t>
  </si>
  <si>
    <t>Leer(archivoA,y)</t>
  </si>
  <si>
    <t>UP(A)</t>
  </si>
  <si>
    <t>UP(B)</t>
  </si>
  <si>
    <t>Escribir(archivoA,y)</t>
  </si>
  <si>
    <t>Ejecutar(func1)</t>
  </si>
  <si>
    <t>Escribir(archivoA,x)</t>
  </si>
  <si>
    <t>RR, Q=4</t>
  </si>
  <si>
    <t>C 1</t>
  </si>
  <si>
    <t>A 0</t>
  </si>
  <si>
    <t>B 0</t>
  </si>
  <si>
    <t>P3</t>
  </si>
  <si>
    <t>P2</t>
  </si>
  <si>
    <t>P1</t>
  </si>
  <si>
    <t>C=0</t>
  </si>
  <si>
    <t>X</t>
  </si>
  <si>
    <t>I/O</t>
  </si>
  <si>
    <t>B=-1</t>
  </si>
  <si>
    <t>P2 BLOQ</t>
  </si>
  <si>
    <t>A=-1</t>
  </si>
  <si>
    <t>P1 BLOQ</t>
  </si>
  <si>
    <t>B=0</t>
  </si>
  <si>
    <t>P2 DESBL</t>
  </si>
  <si>
    <t>A=0</t>
  </si>
  <si>
    <t>P1 DESBL</t>
  </si>
  <si>
    <t>C=1</t>
  </si>
  <si>
    <t>A=1</t>
  </si>
  <si>
    <t>X (F)</t>
  </si>
  <si>
    <t>P3 - T= 27</t>
  </si>
  <si>
    <t>P1 - T=41</t>
  </si>
  <si>
    <t>P2 - T=43</t>
  </si>
  <si>
    <t>I/O (al final)</t>
  </si>
  <si>
    <t>CPU (al inicio)</t>
  </si>
  <si>
    <t>Valor Ini</t>
  </si>
  <si>
    <t>Traza de ejecucion</t>
  </si>
  <si>
    <t>1) P3</t>
  </si>
  <si>
    <t>2) P2</t>
  </si>
  <si>
    <t>3) P1</t>
  </si>
  <si>
    <t>Orden de Finalización</t>
  </si>
  <si>
    <t>Valor Inicial Global de los Semáforos</t>
  </si>
  <si>
    <t>Total --&gt;</t>
  </si>
  <si>
    <t>signal lug_dis</t>
  </si>
  <si>
    <t>signal vacio</t>
  </si>
  <si>
    <t>signal mx</t>
  </si>
  <si>
    <t>salida_de_cochera();</t>
  </si>
  <si>
    <t>entrada_en_cochera ();</t>
  </si>
  <si>
    <t>wait mx</t>
  </si>
  <si>
    <t>wait vacio</t>
  </si>
  <si>
    <t>wait lug_dis</t>
  </si>
  <si>
    <t>vacio=0</t>
  </si>
  <si>
    <t>lug_dis=20</t>
  </si>
  <si>
    <t>SALIDA</t>
  </si>
  <si>
    <t>MX=1</t>
  </si>
  <si>
    <t>ENTRADA</t>
  </si>
  <si>
    <t>ph</t>
  </si>
  <si>
    <t>Q=4</t>
  </si>
  <si>
    <t>AABCAABC ….</t>
  </si>
  <si>
    <t>AABC AABC …</t>
  </si>
  <si>
    <t>P (SB)</t>
  </si>
  <si>
    <t>SA=2</t>
  </si>
  <si>
    <t>P (SA)</t>
  </si>
  <si>
    <t>P (SC)</t>
  </si>
  <si>
    <t>SB=0</t>
  </si>
  <si>
    <t>PRINT A</t>
  </si>
  <si>
    <t>PRINT B</t>
  </si>
  <si>
    <t>PRINT C</t>
  </si>
  <si>
    <t>SC=0</t>
  </si>
  <si>
    <t>V (SB)</t>
  </si>
  <si>
    <t>V (SC)</t>
  </si>
  <si>
    <t>V (SA()</t>
  </si>
  <si>
    <t>SA</t>
  </si>
  <si>
    <t>SB</t>
  </si>
  <si>
    <t>SC</t>
  </si>
  <si>
    <t>BACABACABACA</t>
  </si>
  <si>
    <t>uc</t>
  </si>
  <si>
    <t>C=[PC]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</si>
</sst>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A0A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5" xfId="0" quotePrefix="1" applyBorder="1"/>
    <xf numFmtId="0" fontId="0" fillId="0" borderId="5" xfId="0" quotePrefix="1" applyBorder="1" applyAlignment="1">
      <alignment horizontal="center"/>
    </xf>
    <xf numFmtId="0" fontId="5" fillId="0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0" xfId="0" applyFont="1"/>
    <xf numFmtId="0" fontId="2" fillId="0" borderId="0" xfId="0" applyFont="1"/>
    <xf numFmtId="0" fontId="2" fillId="0" borderId="0" xfId="0" applyFont="1" applyBorder="1"/>
    <xf numFmtId="0" fontId="7" fillId="0" borderId="0" xfId="0" applyFont="1"/>
    <xf numFmtId="0" fontId="8" fillId="0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3</xdr:row>
      <xdr:rowOff>83820</xdr:rowOff>
    </xdr:from>
    <xdr:to>
      <xdr:col>5</xdr:col>
      <xdr:colOff>426720</xdr:colOff>
      <xdr:row>5</xdr:row>
      <xdr:rowOff>99060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F155359-4D8A-4AF6-85CA-4AC414B794F1}"/>
            </a:ext>
          </a:extLst>
        </xdr:cNvPr>
        <xdr:cNvSpPr/>
      </xdr:nvSpPr>
      <xdr:spPr>
        <a:xfrm>
          <a:off x="1958340" y="5372100"/>
          <a:ext cx="1402080" cy="381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Nuevo</a:t>
          </a:r>
        </a:p>
      </xdr:txBody>
    </xdr:sp>
    <xdr:clientData/>
  </xdr:twoCellAnchor>
  <xdr:twoCellAnchor>
    <xdr:from>
      <xdr:col>7</xdr:col>
      <xdr:colOff>304800</xdr:colOff>
      <xdr:row>3</xdr:row>
      <xdr:rowOff>91440</xdr:rowOff>
    </xdr:from>
    <xdr:to>
      <xdr:col>9</xdr:col>
      <xdr:colOff>106680</xdr:colOff>
      <xdr:row>5</xdr:row>
      <xdr:rowOff>106680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E386F9F-552C-4504-B9E2-5CC92839AC04}"/>
            </a:ext>
          </a:extLst>
        </xdr:cNvPr>
        <xdr:cNvSpPr/>
      </xdr:nvSpPr>
      <xdr:spPr>
        <a:xfrm>
          <a:off x="5532120" y="5379720"/>
          <a:ext cx="1021080" cy="381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Listo</a:t>
          </a:r>
        </a:p>
      </xdr:txBody>
    </xdr:sp>
    <xdr:clientData/>
  </xdr:twoCellAnchor>
  <xdr:twoCellAnchor>
    <xdr:from>
      <xdr:col>9</xdr:col>
      <xdr:colOff>182880</xdr:colOff>
      <xdr:row>8</xdr:row>
      <xdr:rowOff>121920</xdr:rowOff>
    </xdr:from>
    <xdr:to>
      <xdr:col>11</xdr:col>
      <xdr:colOff>53340</xdr:colOff>
      <xdr:row>10</xdr:row>
      <xdr:rowOff>106680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AF53A36-64F3-466E-8437-8674A1D71764}"/>
            </a:ext>
          </a:extLst>
        </xdr:cNvPr>
        <xdr:cNvSpPr/>
      </xdr:nvSpPr>
      <xdr:spPr>
        <a:xfrm>
          <a:off x="6629400" y="6324600"/>
          <a:ext cx="1089660" cy="3505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Bloq</a:t>
          </a:r>
        </a:p>
      </xdr:txBody>
    </xdr:sp>
    <xdr:clientData/>
  </xdr:twoCellAnchor>
  <xdr:twoCellAnchor>
    <xdr:from>
      <xdr:col>11</xdr:col>
      <xdr:colOff>167640</xdr:colOff>
      <xdr:row>3</xdr:row>
      <xdr:rowOff>76200</xdr:rowOff>
    </xdr:from>
    <xdr:to>
      <xdr:col>13</xdr:col>
      <xdr:colOff>0</xdr:colOff>
      <xdr:row>5</xdr:row>
      <xdr:rowOff>121920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2A7156A-F094-4421-A495-8DAB758EA712}"/>
            </a:ext>
          </a:extLst>
        </xdr:cNvPr>
        <xdr:cNvSpPr/>
      </xdr:nvSpPr>
      <xdr:spPr>
        <a:xfrm>
          <a:off x="7833360" y="5364480"/>
          <a:ext cx="1577340" cy="4114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Running</a:t>
          </a:r>
        </a:p>
      </xdr:txBody>
    </xdr:sp>
    <xdr:clientData/>
  </xdr:twoCellAnchor>
  <xdr:twoCellAnchor>
    <xdr:from>
      <xdr:col>14</xdr:col>
      <xdr:colOff>320040</xdr:colOff>
      <xdr:row>4</xdr:row>
      <xdr:rowOff>0</xdr:rowOff>
    </xdr:from>
    <xdr:to>
      <xdr:col>15</xdr:col>
      <xdr:colOff>982980</xdr:colOff>
      <xdr:row>5</xdr:row>
      <xdr:rowOff>152400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653D204-5D27-405F-A1E8-6946B1F348A6}"/>
            </a:ext>
          </a:extLst>
        </xdr:cNvPr>
        <xdr:cNvSpPr/>
      </xdr:nvSpPr>
      <xdr:spPr>
        <a:xfrm>
          <a:off x="8519160" y="731520"/>
          <a:ext cx="1775460" cy="3352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Fin</a:t>
          </a:r>
        </a:p>
      </xdr:txBody>
    </xdr:sp>
    <xdr:clientData/>
  </xdr:twoCellAnchor>
  <xdr:twoCellAnchor>
    <xdr:from>
      <xdr:col>5</xdr:col>
      <xdr:colOff>525780</xdr:colOff>
      <xdr:row>4</xdr:row>
      <xdr:rowOff>83820</xdr:rowOff>
    </xdr:from>
    <xdr:to>
      <xdr:col>7</xdr:col>
      <xdr:colOff>190500</xdr:colOff>
      <xdr:row>4</xdr:row>
      <xdr:rowOff>83820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A50B287-2427-4A12-AAE0-55A378266049}"/>
            </a:ext>
          </a:extLst>
        </xdr:cNvPr>
        <xdr:cNvCxnSpPr/>
      </xdr:nvCxnSpPr>
      <xdr:spPr>
        <a:xfrm>
          <a:off x="3459480" y="5554980"/>
          <a:ext cx="1958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</xdr:row>
      <xdr:rowOff>99060</xdr:rowOff>
    </xdr:from>
    <xdr:to>
      <xdr:col>14</xdr:col>
      <xdr:colOff>259080</xdr:colOff>
      <xdr:row>4</xdr:row>
      <xdr:rowOff>99060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FF8782B-D4AC-4C07-8896-BD1E68FF541B}"/>
            </a:ext>
          </a:extLst>
        </xdr:cNvPr>
        <xdr:cNvCxnSpPr>
          <a:stCxn id="5" idx="6"/>
        </xdr:cNvCxnSpPr>
      </xdr:nvCxnSpPr>
      <xdr:spPr>
        <a:xfrm>
          <a:off x="9410700" y="5570220"/>
          <a:ext cx="9677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205740</xdr:colOff>
      <xdr:row>4</xdr:row>
      <xdr:rowOff>83820</xdr:rowOff>
    </xdr:from>
    <xdr:to>
      <xdr:col>11</xdr:col>
      <xdr:colOff>15240</xdr:colOff>
      <xdr:row>4</xdr:row>
      <xdr:rowOff>99060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DF1FF03-5879-4468-91D3-1D6C9C8D3830}"/>
            </a:ext>
          </a:extLst>
        </xdr:cNvPr>
        <xdr:cNvCxnSpPr/>
      </xdr:nvCxnSpPr>
      <xdr:spPr>
        <a:xfrm flipV="1">
          <a:off x="6652260" y="5554980"/>
          <a:ext cx="10287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350520</xdr:colOff>
      <xdr:row>6</xdr:row>
      <xdr:rowOff>7620</xdr:rowOff>
    </xdr:from>
    <xdr:to>
      <xdr:col>11</xdr:col>
      <xdr:colOff>182880</xdr:colOff>
      <xdr:row>8</xdr:row>
      <xdr:rowOff>53340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0865661-7974-4E49-A0B1-2E80C10BF436}"/>
            </a:ext>
          </a:extLst>
        </xdr:cNvPr>
        <xdr:cNvCxnSpPr/>
      </xdr:nvCxnSpPr>
      <xdr:spPr>
        <a:xfrm flipH="1">
          <a:off x="7406640" y="5844540"/>
          <a:ext cx="44196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</xdr:colOff>
      <xdr:row>5</xdr:row>
      <xdr:rowOff>30480</xdr:rowOff>
    </xdr:from>
    <xdr:to>
      <xdr:col>11</xdr:col>
      <xdr:colOff>167640</xdr:colOff>
      <xdr:row>5</xdr:row>
      <xdr:rowOff>30480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0B4C220-3B04-4ECA-A86C-7010C4063C69}"/>
            </a:ext>
          </a:extLst>
        </xdr:cNvPr>
        <xdr:cNvCxnSpPr/>
      </xdr:nvCxnSpPr>
      <xdr:spPr>
        <a:xfrm flipH="1">
          <a:off x="6537960" y="5684520"/>
          <a:ext cx="1295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205740</xdr:colOff>
      <xdr:row>6</xdr:row>
      <xdr:rowOff>0</xdr:rowOff>
    </xdr:from>
    <xdr:to>
      <xdr:col>9</xdr:col>
      <xdr:colOff>182880</xdr:colOff>
      <xdr:row>8</xdr:row>
      <xdr:rowOff>152400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CEFAB05-283F-4730-8755-AC126D6EA224}"/>
            </a:ext>
          </a:extLst>
        </xdr:cNvPr>
        <xdr:cNvCxnSpPr/>
      </xdr:nvCxnSpPr>
      <xdr:spPr>
        <a:xfrm flipH="1" flipV="1">
          <a:off x="6042660" y="5836920"/>
          <a:ext cx="586740" cy="51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434340</xdr:colOff>
      <xdr:row>26</xdr:row>
      <xdr:rowOff>152400</xdr:rowOff>
    </xdr:from>
    <xdr:to>
      <xdr:col>10</xdr:col>
      <xdr:colOff>441960</xdr:colOff>
      <xdr:row>27</xdr:row>
      <xdr:rowOff>15240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9FFF8E4-7F59-432F-B597-D3385681DA9A}"/>
            </a:ext>
          </a:extLst>
        </xdr:cNvPr>
        <xdr:cNvCxnSpPr/>
      </xdr:nvCxnSpPr>
      <xdr:spPr>
        <a:xfrm flipH="1">
          <a:off x="12854940" y="5623560"/>
          <a:ext cx="7620" cy="4572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144780</xdr:rowOff>
    </xdr:from>
    <xdr:to>
      <xdr:col>8</xdr:col>
      <xdr:colOff>320040</xdr:colOff>
      <xdr:row>12</xdr:row>
      <xdr:rowOff>45720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01D79E3-DAFA-4A25-95F0-BEFD6F94F32C}"/>
            </a:ext>
          </a:extLst>
        </xdr:cNvPr>
        <xdr:cNvCxnSpPr/>
      </xdr:nvCxnSpPr>
      <xdr:spPr>
        <a:xfrm>
          <a:off x="2659380" y="1059180"/>
          <a:ext cx="2537460" cy="998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6</xdr:row>
      <xdr:rowOff>160020</xdr:rowOff>
    </xdr:from>
    <xdr:to>
      <xdr:col>8</xdr:col>
      <xdr:colOff>320040</xdr:colOff>
      <xdr:row>11</xdr:row>
      <xdr:rowOff>167640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48C0B86-DFED-422C-A096-6C760FD42360}"/>
            </a:ext>
          </a:extLst>
        </xdr:cNvPr>
        <xdr:cNvCxnSpPr/>
      </xdr:nvCxnSpPr>
      <xdr:spPr>
        <a:xfrm flipV="1">
          <a:off x="3177540" y="1074420"/>
          <a:ext cx="201930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5020-336F-46CC-A61D-0D0F64021A67}">
  <dimension ref="B1:N28"/>
  <sheetViews>
    <sheetView tabSelected="1" workbookViewId="0">
      <selection activeCell="F12" sqref="F12"/>
    </sheetView>
  </sheetViews>
  <sheetFormatPr defaultRowHeight="14.4" x14ac:dyDescent="0.3"/>
  <cols>
    <col min="1" max="1" width="14.88671875" customWidth="1"/>
    <col min="2" max="2" width="12.88671875" customWidth="1"/>
    <col min="3" max="3" width="15" customWidth="1"/>
    <col min="4" max="4" width="17.109375" customWidth="1"/>
    <col min="5" max="5" width="16.33203125" customWidth="1"/>
    <col min="11" max="11" width="16.5546875" customWidth="1"/>
    <col min="12" max="12" width="10.33203125" customWidth="1"/>
    <col min="13" max="13" width="13.77734375" customWidth="1"/>
    <col min="14" max="14" width="19.77734375" customWidth="1"/>
    <col min="15" max="15" width="16.5546875" customWidth="1"/>
  </cols>
  <sheetData>
    <row r="1" spans="2:14" ht="15" thickBot="1" x14ac:dyDescent="0.35"/>
    <row r="2" spans="2:14" ht="31.8" customHeight="1" thickBot="1" x14ac:dyDescent="0.35">
      <c r="B2" s="1" t="s">
        <v>0</v>
      </c>
      <c r="C2" s="2" t="s">
        <v>1</v>
      </c>
      <c r="D2" s="2" t="s">
        <v>2</v>
      </c>
      <c r="E2" s="2" t="s">
        <v>3</v>
      </c>
      <c r="G2" s="1"/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N2" s="26" t="s">
        <v>125</v>
      </c>
    </row>
    <row r="3" spans="2:14" ht="17.399999999999999" customHeight="1" thickBot="1" x14ac:dyDescent="0.35">
      <c r="B3" s="3" t="s">
        <v>4</v>
      </c>
      <c r="C3" s="4" t="s">
        <v>5</v>
      </c>
      <c r="D3" s="4" t="s">
        <v>6</v>
      </c>
      <c r="E3" s="4" t="s">
        <v>7</v>
      </c>
      <c r="G3" s="6" t="s">
        <v>0</v>
      </c>
      <c r="H3" s="7">
        <v>2</v>
      </c>
      <c r="I3" s="7">
        <v>1</v>
      </c>
      <c r="J3" s="7">
        <v>0</v>
      </c>
      <c r="K3" s="7">
        <v>0</v>
      </c>
      <c r="L3" s="7">
        <v>0</v>
      </c>
      <c r="N3" t="s">
        <v>38</v>
      </c>
    </row>
    <row r="4" spans="2:14" ht="15.6" customHeight="1" thickBot="1" x14ac:dyDescent="0.35">
      <c r="B4" s="3" t="s">
        <v>8</v>
      </c>
      <c r="C4" s="4" t="s">
        <v>9</v>
      </c>
      <c r="D4" s="4" t="s">
        <v>10</v>
      </c>
      <c r="E4" s="4" t="s">
        <v>11</v>
      </c>
      <c r="G4" s="6" t="s">
        <v>1</v>
      </c>
      <c r="H4" s="7">
        <v>0</v>
      </c>
      <c r="I4" s="7">
        <v>1</v>
      </c>
      <c r="J4" s="7">
        <v>0</v>
      </c>
      <c r="K4" s="7">
        <v>0</v>
      </c>
      <c r="L4" s="7">
        <v>0</v>
      </c>
      <c r="N4" t="s">
        <v>37</v>
      </c>
    </row>
    <row r="5" spans="2:14" ht="18" customHeight="1" thickBot="1" x14ac:dyDescent="0.35">
      <c r="B5" s="3" t="s">
        <v>8</v>
      </c>
      <c r="C5" s="4" t="s">
        <v>9</v>
      </c>
      <c r="D5" s="4" t="s">
        <v>6</v>
      </c>
      <c r="E5" s="4" t="s">
        <v>12</v>
      </c>
      <c r="G5" s="27" t="s">
        <v>2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N5" t="s">
        <v>39</v>
      </c>
    </row>
    <row r="6" spans="2:14" ht="15" customHeight="1" thickBot="1" x14ac:dyDescent="0.35">
      <c r="B6" s="3" t="s">
        <v>13</v>
      </c>
      <c r="C6" s="4" t="s">
        <v>14</v>
      </c>
      <c r="D6" s="4" t="s">
        <v>15</v>
      </c>
      <c r="E6" s="4" t="s">
        <v>16</v>
      </c>
      <c r="G6" s="29" t="s">
        <v>3</v>
      </c>
      <c r="H6" s="7">
        <v>0</v>
      </c>
      <c r="I6" s="7">
        <v>1</v>
      </c>
      <c r="J6" s="7">
        <v>1</v>
      </c>
      <c r="K6" s="7">
        <v>0</v>
      </c>
      <c r="L6" s="7">
        <v>0</v>
      </c>
      <c r="N6" t="s">
        <v>40</v>
      </c>
    </row>
    <row r="7" spans="2:14" ht="15.6" customHeight="1" thickBot="1" x14ac:dyDescent="0.35">
      <c r="B7" s="3" t="s">
        <v>17</v>
      </c>
      <c r="C7" s="4" t="s">
        <v>9</v>
      </c>
      <c r="D7" s="4" t="s">
        <v>16</v>
      </c>
      <c r="E7" s="4" t="s">
        <v>18</v>
      </c>
      <c r="G7" s="28" t="s">
        <v>126</v>
      </c>
      <c r="H7">
        <f>SUM(H3:H6)</f>
        <v>3</v>
      </c>
      <c r="I7">
        <f>SUM(I3:I6)</f>
        <v>3</v>
      </c>
      <c r="J7">
        <f>SUM(J3:J6)</f>
        <v>1</v>
      </c>
      <c r="K7">
        <f>SUM(K3:K6)</f>
        <v>0</v>
      </c>
      <c r="L7">
        <f>SUM(L3:L6)</f>
        <v>0</v>
      </c>
      <c r="N7" t="s">
        <v>41</v>
      </c>
    </row>
    <row r="9" spans="2:14" x14ac:dyDescent="0.3">
      <c r="C9" s="9"/>
      <c r="D9" s="9"/>
      <c r="E9" s="9"/>
      <c r="F9" s="37" t="s">
        <v>27</v>
      </c>
      <c r="G9" s="37"/>
      <c r="H9" s="37"/>
      <c r="I9" s="37"/>
      <c r="J9" s="37"/>
      <c r="K9" s="9"/>
      <c r="L9" s="9"/>
      <c r="N9" t="s">
        <v>44</v>
      </c>
    </row>
    <row r="10" spans="2:14" x14ac:dyDescent="0.3">
      <c r="B10" s="5"/>
      <c r="C10" s="16" t="s">
        <v>19</v>
      </c>
      <c r="D10" s="16" t="s">
        <v>20</v>
      </c>
      <c r="E10" s="16" t="s">
        <v>21</v>
      </c>
      <c r="F10" s="8" t="s">
        <v>22</v>
      </c>
      <c r="G10" s="8" t="s">
        <v>23</v>
      </c>
      <c r="H10" s="8" t="s">
        <v>24</v>
      </c>
      <c r="I10" s="8" t="s">
        <v>25</v>
      </c>
      <c r="J10" s="11" t="s">
        <v>26</v>
      </c>
      <c r="K10" s="16" t="s">
        <v>28</v>
      </c>
      <c r="L10" s="16" t="s">
        <v>29</v>
      </c>
    </row>
    <row r="11" spans="2:14" x14ac:dyDescent="0.3">
      <c r="C11" s="9"/>
      <c r="D11" s="9"/>
      <c r="E11" s="9"/>
      <c r="F11" s="9"/>
      <c r="G11" s="9"/>
      <c r="H11" s="9"/>
      <c r="I11" s="9"/>
      <c r="J11" s="12"/>
      <c r="K11" s="9"/>
      <c r="L11" s="9"/>
    </row>
    <row r="12" spans="2:14" x14ac:dyDescent="0.3">
      <c r="C12" s="15" t="s">
        <v>31</v>
      </c>
      <c r="D12" s="10" t="s">
        <v>30</v>
      </c>
      <c r="E12" s="10" t="s">
        <v>30</v>
      </c>
      <c r="F12" s="35">
        <v>1</v>
      </c>
      <c r="G12" s="35">
        <v>2</v>
      </c>
      <c r="H12" s="35">
        <v>2</v>
      </c>
      <c r="I12" s="35">
        <v>1</v>
      </c>
      <c r="J12" s="36">
        <v>1</v>
      </c>
      <c r="K12" s="14" t="s">
        <v>30</v>
      </c>
      <c r="L12" s="9" t="s">
        <v>30</v>
      </c>
    </row>
    <row r="13" spans="2:14" x14ac:dyDescent="0.3">
      <c r="C13" s="10"/>
      <c r="D13" s="10"/>
      <c r="E13" s="10"/>
      <c r="F13" s="9"/>
      <c r="G13" s="9"/>
      <c r="H13" s="9"/>
      <c r="I13" s="9"/>
      <c r="J13" s="12"/>
      <c r="K13" s="10"/>
      <c r="L13" s="10"/>
    </row>
    <row r="14" spans="2:14" x14ac:dyDescent="0.3">
      <c r="C14" s="10" t="s">
        <v>42</v>
      </c>
      <c r="D14" s="10" t="s">
        <v>43</v>
      </c>
      <c r="E14" s="10" t="s">
        <v>45</v>
      </c>
      <c r="F14" s="10">
        <v>0</v>
      </c>
      <c r="G14" s="10"/>
      <c r="H14" s="10"/>
      <c r="I14" s="10"/>
      <c r="J14" s="13"/>
      <c r="K14" s="10"/>
      <c r="L14" s="10"/>
    </row>
    <row r="15" spans="2:14" x14ac:dyDescent="0.3">
      <c r="C15" s="10" t="s">
        <v>46</v>
      </c>
      <c r="D15" s="10" t="s">
        <v>43</v>
      </c>
      <c r="E15" s="10" t="s">
        <v>47</v>
      </c>
      <c r="F15" s="10"/>
      <c r="G15" s="10"/>
      <c r="H15" s="10"/>
      <c r="I15" s="10"/>
      <c r="J15" s="13">
        <v>0</v>
      </c>
      <c r="K15" s="10"/>
      <c r="L15" s="10"/>
    </row>
    <row r="16" spans="2:14" x14ac:dyDescent="0.3">
      <c r="C16" s="10" t="s">
        <v>48</v>
      </c>
      <c r="D16" s="10" t="s">
        <v>43</v>
      </c>
      <c r="E16" s="10" t="s">
        <v>47</v>
      </c>
      <c r="F16" s="10"/>
      <c r="G16" s="10"/>
      <c r="H16" s="10"/>
      <c r="I16" s="10"/>
      <c r="J16" s="13">
        <v>-1</v>
      </c>
      <c r="K16" s="10" t="s">
        <v>49</v>
      </c>
      <c r="L16" s="10" t="s">
        <v>50</v>
      </c>
    </row>
    <row r="17" spans="3:12" x14ac:dyDescent="0.3">
      <c r="C17" s="10" t="s">
        <v>51</v>
      </c>
      <c r="D17" s="10" t="s">
        <v>52</v>
      </c>
      <c r="E17" s="10" t="s">
        <v>53</v>
      </c>
      <c r="F17" s="10"/>
      <c r="G17" s="10">
        <v>3</v>
      </c>
      <c r="H17" s="10"/>
      <c r="I17" s="10"/>
      <c r="J17" s="13"/>
      <c r="K17" s="10"/>
      <c r="L17" s="10"/>
    </row>
    <row r="18" spans="3:12" x14ac:dyDescent="0.3">
      <c r="C18" s="10" t="s">
        <v>54</v>
      </c>
      <c r="D18" s="10" t="s">
        <v>52</v>
      </c>
      <c r="E18" s="10" t="s">
        <v>55</v>
      </c>
      <c r="F18" s="10"/>
      <c r="G18" s="10"/>
      <c r="H18" s="10">
        <v>1</v>
      </c>
      <c r="I18" s="10"/>
      <c r="J18" s="13"/>
      <c r="K18" s="10"/>
      <c r="L18" s="10"/>
    </row>
    <row r="19" spans="3:12" x14ac:dyDescent="0.3">
      <c r="C19" s="10" t="s">
        <v>56</v>
      </c>
      <c r="D19" s="10" t="s">
        <v>52</v>
      </c>
      <c r="E19" s="10" t="s">
        <v>55</v>
      </c>
      <c r="F19" s="10"/>
      <c r="G19" s="10"/>
      <c r="H19" s="10">
        <v>0</v>
      </c>
      <c r="I19" s="10"/>
      <c r="J19" s="13"/>
      <c r="K19" s="10"/>
      <c r="L19" s="10"/>
    </row>
    <row r="20" spans="3:12" x14ac:dyDescent="0.3">
      <c r="C20" s="10" t="s">
        <v>57</v>
      </c>
      <c r="D20" s="10" t="s">
        <v>52</v>
      </c>
      <c r="E20" s="10" t="s">
        <v>58</v>
      </c>
      <c r="F20" s="10"/>
      <c r="G20" s="10"/>
      <c r="H20" s="10"/>
      <c r="I20" s="10">
        <v>2</v>
      </c>
      <c r="J20" s="13"/>
      <c r="K20" s="10"/>
      <c r="L20" s="10"/>
    </row>
    <row r="21" spans="3:12" x14ac:dyDescent="0.3">
      <c r="C21" s="10" t="s">
        <v>59</v>
      </c>
      <c r="D21" s="10" t="s">
        <v>52</v>
      </c>
      <c r="E21" s="10" t="s">
        <v>55</v>
      </c>
      <c r="F21" s="10"/>
      <c r="G21" s="10"/>
      <c r="H21" s="10">
        <v>-1</v>
      </c>
      <c r="I21" s="10"/>
      <c r="J21" s="13"/>
      <c r="K21" s="10" t="s">
        <v>60</v>
      </c>
      <c r="L21" s="10" t="s">
        <v>61</v>
      </c>
    </row>
    <row r="22" spans="3:12" x14ac:dyDescent="0.3">
      <c r="C22" s="10" t="s">
        <v>62</v>
      </c>
      <c r="D22" s="10" t="s">
        <v>63</v>
      </c>
      <c r="E22" s="10" t="s">
        <v>55</v>
      </c>
      <c r="F22" s="10"/>
      <c r="G22" s="10"/>
      <c r="H22" s="10">
        <v>-2</v>
      </c>
      <c r="I22" s="10"/>
      <c r="J22" s="13"/>
      <c r="K22" s="10" t="s">
        <v>64</v>
      </c>
      <c r="L22" s="10" t="s">
        <v>65</v>
      </c>
    </row>
    <row r="23" spans="3:12" x14ac:dyDescent="0.3">
      <c r="C23" s="10" t="s">
        <v>66</v>
      </c>
      <c r="D23" s="10" t="s">
        <v>67</v>
      </c>
      <c r="E23" s="10" t="s">
        <v>68</v>
      </c>
      <c r="F23" s="10">
        <v>1</v>
      </c>
      <c r="G23" s="10"/>
      <c r="H23" s="10"/>
      <c r="I23" s="10"/>
      <c r="J23" s="13"/>
      <c r="K23" s="10"/>
      <c r="L23" s="10"/>
    </row>
    <row r="24" spans="3:12" x14ac:dyDescent="0.3">
      <c r="C24" s="10" t="s">
        <v>69</v>
      </c>
      <c r="D24" s="10" t="s">
        <v>67</v>
      </c>
      <c r="E24" s="10" t="s">
        <v>70</v>
      </c>
      <c r="F24" s="10"/>
      <c r="G24" s="10">
        <v>2</v>
      </c>
      <c r="H24" s="10"/>
      <c r="I24" s="10"/>
      <c r="J24" s="13"/>
      <c r="K24" s="10"/>
      <c r="L24" s="10"/>
    </row>
    <row r="25" spans="3:12" x14ac:dyDescent="0.3">
      <c r="C25" s="10" t="s">
        <v>71</v>
      </c>
      <c r="D25" s="10" t="s">
        <v>67</v>
      </c>
      <c r="E25" s="10" t="s">
        <v>47</v>
      </c>
      <c r="F25" s="10"/>
      <c r="G25" s="10"/>
      <c r="H25" s="10"/>
      <c r="I25" s="10"/>
      <c r="J25" s="13">
        <v>-2</v>
      </c>
      <c r="K25" s="10" t="s">
        <v>72</v>
      </c>
      <c r="L25" s="10" t="s">
        <v>73</v>
      </c>
    </row>
    <row r="27" spans="3:12" x14ac:dyDescent="0.3">
      <c r="D27" s="31" t="s">
        <v>140</v>
      </c>
      <c r="E27" s="31" t="s">
        <v>160</v>
      </c>
      <c r="H27">
        <v>-1</v>
      </c>
      <c r="K27" s="10" t="s">
        <v>161</v>
      </c>
    </row>
    <row r="28" spans="3:12" x14ac:dyDescent="0.3">
      <c r="D28" s="31" t="s">
        <v>140</v>
      </c>
    </row>
  </sheetData>
  <mergeCells count="1">
    <mergeCell ref="F9:J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B1AA-7900-424A-B390-C517215F06CA}">
  <dimension ref="A3:AS28"/>
  <sheetViews>
    <sheetView topLeftCell="B13" workbookViewId="0">
      <selection activeCell="O11" sqref="O11:Q17"/>
    </sheetView>
  </sheetViews>
  <sheetFormatPr defaultRowHeight="14.4" x14ac:dyDescent="0.3"/>
  <cols>
    <col min="3" max="3" width="4" customWidth="1"/>
    <col min="4" max="4" width="11.21875" customWidth="1"/>
    <col min="15" max="15" width="16.21875" customWidth="1"/>
    <col min="16" max="16" width="18.6640625" customWidth="1"/>
    <col min="17" max="17" width="17" customWidth="1"/>
  </cols>
  <sheetData>
    <row r="3" spans="4:17" x14ac:dyDescent="0.3">
      <c r="M3" t="s">
        <v>141</v>
      </c>
    </row>
    <row r="5" spans="4:17" x14ac:dyDescent="0.3">
      <c r="Q5" t="s">
        <v>97</v>
      </c>
    </row>
    <row r="9" spans="4:17" ht="15" thickBot="1" x14ac:dyDescent="0.35"/>
    <row r="10" spans="4:17" ht="15" thickBot="1" x14ac:dyDescent="0.35">
      <c r="O10" s="1" t="s">
        <v>78</v>
      </c>
      <c r="P10" s="2" t="s">
        <v>79</v>
      </c>
      <c r="Q10" s="2" t="s">
        <v>80</v>
      </c>
    </row>
    <row r="11" spans="4:17" ht="15" thickBot="1" x14ac:dyDescent="0.35">
      <c r="O11" s="40" t="s">
        <v>81</v>
      </c>
      <c r="P11" s="41" t="s">
        <v>82</v>
      </c>
      <c r="Q11" s="41" t="s">
        <v>83</v>
      </c>
    </row>
    <row r="12" spans="4:17" ht="27" thickBot="1" x14ac:dyDescent="0.35">
      <c r="D12" s="17" t="s">
        <v>74</v>
      </c>
      <c r="E12" s="18" t="s">
        <v>118</v>
      </c>
      <c r="F12" s="18" t="s">
        <v>117</v>
      </c>
      <c r="L12" t="s">
        <v>99</v>
      </c>
      <c r="O12" s="40" t="s">
        <v>84</v>
      </c>
      <c r="P12" s="41" t="s">
        <v>85</v>
      </c>
      <c r="Q12" s="41" t="s">
        <v>86</v>
      </c>
    </row>
    <row r="13" spans="4:17" ht="15" thickBot="1" x14ac:dyDescent="0.35">
      <c r="D13" s="19" t="s">
        <v>75</v>
      </c>
      <c r="E13" s="20">
        <v>2</v>
      </c>
      <c r="F13" s="20">
        <v>0</v>
      </c>
      <c r="L13" t="s">
        <v>98</v>
      </c>
      <c r="O13" s="40" t="s">
        <v>87</v>
      </c>
      <c r="P13" s="41" t="s">
        <v>88</v>
      </c>
      <c r="Q13" s="41" t="s">
        <v>89</v>
      </c>
    </row>
    <row r="14" spans="4:17" ht="15" thickBot="1" x14ac:dyDescent="0.35">
      <c r="D14" s="19" t="s">
        <v>76</v>
      </c>
      <c r="E14" s="20">
        <v>1</v>
      </c>
      <c r="F14" s="20">
        <v>3</v>
      </c>
      <c r="O14" s="40" t="s">
        <v>81</v>
      </c>
      <c r="P14" s="41" t="s">
        <v>90</v>
      </c>
      <c r="Q14" s="41" t="s">
        <v>85</v>
      </c>
    </row>
    <row r="15" spans="4:17" ht="15" thickBot="1" x14ac:dyDescent="0.35">
      <c r="D15" s="19" t="s">
        <v>77</v>
      </c>
      <c r="E15" s="20">
        <v>3</v>
      </c>
      <c r="F15" s="20">
        <v>0</v>
      </c>
      <c r="O15" s="40" t="s">
        <v>85</v>
      </c>
      <c r="P15" s="41" t="s">
        <v>91</v>
      </c>
      <c r="Q15" s="41" t="s">
        <v>92</v>
      </c>
    </row>
    <row r="16" spans="4:17" ht="15" thickBot="1" x14ac:dyDescent="0.35">
      <c r="O16" s="40" t="s">
        <v>89</v>
      </c>
      <c r="P16" s="41" t="s">
        <v>82</v>
      </c>
      <c r="Q16" s="41" t="s">
        <v>91</v>
      </c>
    </row>
    <row r="17" spans="1:45" ht="15" thickBot="1" x14ac:dyDescent="0.35">
      <c r="O17" s="40" t="s">
        <v>83</v>
      </c>
      <c r="P17" s="41" t="s">
        <v>84</v>
      </c>
      <c r="Q17" s="41" t="s">
        <v>88</v>
      </c>
    </row>
    <row r="20" spans="1:45" x14ac:dyDescent="0.3">
      <c r="A20" t="s">
        <v>119</v>
      </c>
      <c r="B20" s="22" t="s">
        <v>93</v>
      </c>
      <c r="F20" s="24" t="s">
        <v>104</v>
      </c>
      <c r="G20" s="24"/>
      <c r="H20" s="24" t="s">
        <v>106</v>
      </c>
      <c r="I20" s="24"/>
      <c r="J20" s="24" t="s">
        <v>108</v>
      </c>
      <c r="Q20" s="25" t="s">
        <v>110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 t="s">
        <v>104</v>
      </c>
      <c r="AL20" s="24"/>
      <c r="AM20" s="24"/>
      <c r="AN20" s="24" t="s">
        <v>108</v>
      </c>
    </row>
    <row r="21" spans="1:45" x14ac:dyDescent="0.3">
      <c r="B21" s="22"/>
      <c r="C21" s="21" t="s">
        <v>100</v>
      </c>
      <c r="D21" s="21"/>
      <c r="E21" s="21"/>
      <c r="F21" s="21" t="s">
        <v>103</v>
      </c>
      <c r="G21" s="21"/>
      <c r="H21" s="21" t="s">
        <v>105</v>
      </c>
      <c r="I21" s="21"/>
      <c r="J21" s="21" t="s">
        <v>107</v>
      </c>
      <c r="K21" s="21"/>
      <c r="L21" s="21"/>
      <c r="M21" s="21"/>
      <c r="N21" s="21"/>
      <c r="O21" s="21"/>
      <c r="P21" s="21"/>
      <c r="Q21" s="21" t="s">
        <v>109</v>
      </c>
      <c r="R21" s="21"/>
      <c r="S21" s="21"/>
      <c r="T21" s="21"/>
      <c r="U21" s="21" t="s">
        <v>111</v>
      </c>
      <c r="V21" s="21"/>
      <c r="W21" s="21"/>
      <c r="X21" s="21"/>
      <c r="Y21" s="21"/>
      <c r="Z21" s="21"/>
      <c r="AA21" s="21"/>
      <c r="AB21" s="21" t="s">
        <v>112</v>
      </c>
      <c r="AC21" s="21"/>
      <c r="AD21" s="21" t="s">
        <v>109</v>
      </c>
      <c r="AE21" s="21"/>
      <c r="AF21" s="21"/>
      <c r="AG21" s="21"/>
      <c r="AH21" s="21"/>
      <c r="AI21" s="21"/>
      <c r="AJ21" s="21"/>
      <c r="AK21" s="21" t="s">
        <v>103</v>
      </c>
      <c r="AL21" s="21"/>
      <c r="AM21" s="21"/>
      <c r="AN21" s="21" t="s">
        <v>107</v>
      </c>
      <c r="AO21" s="21"/>
      <c r="AP21" s="21" t="s">
        <v>100</v>
      </c>
      <c r="AQ21" s="21"/>
      <c r="AR21" s="21" t="s">
        <v>111</v>
      </c>
      <c r="AS21" s="21"/>
    </row>
    <row r="22" spans="1:45" x14ac:dyDescent="0.3">
      <c r="A22" s="21" t="s">
        <v>94</v>
      </c>
      <c r="B22" s="23" t="s">
        <v>97</v>
      </c>
      <c r="C22" s="9" t="s">
        <v>101</v>
      </c>
      <c r="D22" s="9" t="s">
        <v>101</v>
      </c>
      <c r="E22" s="9" t="s">
        <v>101</v>
      </c>
      <c r="F22" s="9" t="s">
        <v>102</v>
      </c>
      <c r="G22" s="9" t="s">
        <v>102</v>
      </c>
      <c r="H22" s="9" t="s">
        <v>102</v>
      </c>
      <c r="I22" s="9"/>
      <c r="J22" s="9" t="s">
        <v>101</v>
      </c>
      <c r="K22" s="9" t="s">
        <v>101</v>
      </c>
      <c r="L22" s="9" t="s">
        <v>101</v>
      </c>
      <c r="M22" s="9" t="s">
        <v>101</v>
      </c>
      <c r="N22" s="9"/>
      <c r="O22" s="9"/>
      <c r="P22" s="9"/>
      <c r="Q22" s="9"/>
      <c r="R22" s="9"/>
      <c r="S22" s="9" t="s">
        <v>101</v>
      </c>
      <c r="T22" s="9" t="s">
        <v>101</v>
      </c>
      <c r="U22" s="9" t="s">
        <v>102</v>
      </c>
      <c r="V22" s="9" t="s">
        <v>102</v>
      </c>
      <c r="W22" s="9" t="s">
        <v>102</v>
      </c>
      <c r="X22" s="9"/>
      <c r="Y22" s="9" t="s">
        <v>101</v>
      </c>
      <c r="Z22" s="9" t="s">
        <v>101</v>
      </c>
      <c r="AA22" s="9" t="s">
        <v>101</v>
      </c>
      <c r="AB22" s="9" t="s">
        <v>101</v>
      </c>
      <c r="AC22" s="9" t="s">
        <v>113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</row>
    <row r="23" spans="1:45" x14ac:dyDescent="0.3">
      <c r="A23" s="21" t="s">
        <v>96</v>
      </c>
      <c r="B23" s="23" t="s">
        <v>98</v>
      </c>
      <c r="C23" s="9"/>
      <c r="D23" s="9"/>
      <c r="E23" s="9"/>
      <c r="F23" s="9" t="s">
        <v>101</v>
      </c>
      <c r="G23" s="9" t="s">
        <v>101</v>
      </c>
      <c r="H23" s="9"/>
      <c r="I23" s="9"/>
      <c r="J23" s="9"/>
      <c r="K23" s="9"/>
      <c r="L23" s="9"/>
      <c r="M23" s="9"/>
      <c r="N23" s="9" t="s">
        <v>101</v>
      </c>
      <c r="O23" s="9" t="s">
        <v>101</v>
      </c>
      <c r="P23" s="9" t="s">
        <v>101</v>
      </c>
      <c r="Q23" s="9" t="s">
        <v>101</v>
      </c>
      <c r="R23" s="9" t="s">
        <v>101</v>
      </c>
      <c r="S23" s="9"/>
      <c r="T23" s="9"/>
      <c r="U23" s="9"/>
      <c r="V23" s="9"/>
      <c r="W23" s="9"/>
      <c r="X23" s="9" t="s">
        <v>101</v>
      </c>
      <c r="Y23" s="9"/>
      <c r="Z23" s="9"/>
      <c r="AA23" s="9" t="s">
        <v>102</v>
      </c>
      <c r="AB23" s="9" t="s">
        <v>102</v>
      </c>
      <c r="AC23" s="9" t="s">
        <v>102</v>
      </c>
      <c r="AD23" s="9"/>
      <c r="AE23" s="9"/>
      <c r="AF23" s="9"/>
      <c r="AG23" s="9"/>
      <c r="AH23" s="9" t="s">
        <v>101</v>
      </c>
      <c r="AI23" s="9" t="s">
        <v>101</v>
      </c>
      <c r="AJ23" s="9" t="s">
        <v>101</v>
      </c>
      <c r="AK23" s="9" t="s">
        <v>101</v>
      </c>
      <c r="AL23" s="9" t="s">
        <v>101</v>
      </c>
      <c r="AM23" s="9"/>
      <c r="AN23" s="9"/>
      <c r="AO23" s="9"/>
      <c r="AP23" s="9"/>
      <c r="AQ23" s="9"/>
      <c r="AR23" s="9" t="s">
        <v>101</v>
      </c>
      <c r="AS23" s="9" t="s">
        <v>113</v>
      </c>
    </row>
    <row r="24" spans="1:45" x14ac:dyDescent="0.3">
      <c r="A24" s="21" t="s">
        <v>95</v>
      </c>
      <c r="B24" s="23" t="s">
        <v>99</v>
      </c>
      <c r="C24" s="9"/>
      <c r="D24" s="9"/>
      <c r="E24" s="9"/>
      <c r="F24" s="9"/>
      <c r="G24" s="9"/>
      <c r="H24" s="9" t="s">
        <v>101</v>
      </c>
      <c r="I24" s="9" t="s">
        <v>101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 t="s">
        <v>101</v>
      </c>
      <c r="V24" s="9" t="s">
        <v>101</v>
      </c>
      <c r="W24" s="9" t="s">
        <v>101</v>
      </c>
      <c r="X24" s="9" t="s">
        <v>102</v>
      </c>
      <c r="Y24" s="9" t="s">
        <v>102</v>
      </c>
      <c r="Z24" s="9" t="s">
        <v>102</v>
      </c>
      <c r="AA24" s="9"/>
      <c r="AB24" s="9"/>
      <c r="AC24" s="9"/>
      <c r="AD24" s="9" t="s">
        <v>101</v>
      </c>
      <c r="AE24" s="9" t="s">
        <v>101</v>
      </c>
      <c r="AF24" s="9" t="s">
        <v>101</v>
      </c>
      <c r="AG24" s="9" t="s">
        <v>101</v>
      </c>
      <c r="AH24" s="9"/>
      <c r="AI24" s="9"/>
      <c r="AJ24" s="9"/>
      <c r="AK24" s="9"/>
      <c r="AL24" s="9"/>
      <c r="AM24" s="9" t="s">
        <v>101</v>
      </c>
      <c r="AN24" s="9" t="s">
        <v>101</v>
      </c>
      <c r="AO24" s="9" t="s">
        <v>101</v>
      </c>
      <c r="AP24" s="9" t="s">
        <v>101</v>
      </c>
      <c r="AQ24" s="9" t="s">
        <v>113</v>
      </c>
      <c r="AR24" s="9"/>
      <c r="AS24" s="9"/>
    </row>
    <row r="26" spans="1:45" x14ac:dyDescent="0.3">
      <c r="D26" t="s">
        <v>120</v>
      </c>
      <c r="F26" t="s">
        <v>121</v>
      </c>
      <c r="H26" t="s">
        <v>124</v>
      </c>
      <c r="K26" t="s">
        <v>114</v>
      </c>
    </row>
    <row r="27" spans="1:45" x14ac:dyDescent="0.3">
      <c r="F27" t="s">
        <v>122</v>
      </c>
      <c r="K27" t="s">
        <v>115</v>
      </c>
    </row>
    <row r="28" spans="1:45" x14ac:dyDescent="0.3">
      <c r="F28" t="s">
        <v>123</v>
      </c>
      <c r="K28" t="s">
        <v>116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E2A0-A291-4F30-B005-AC493CE1FA8C}">
  <dimension ref="C4:L49"/>
  <sheetViews>
    <sheetView workbookViewId="0">
      <selection activeCell="E17" sqref="E17"/>
    </sheetView>
  </sheetViews>
  <sheetFormatPr defaultRowHeight="14.4" x14ac:dyDescent="0.3"/>
  <sheetData>
    <row r="4" spans="3:12" x14ac:dyDescent="0.3">
      <c r="C4" s="38" t="s">
        <v>139</v>
      </c>
      <c r="D4" s="38"/>
      <c r="E4" s="38"/>
      <c r="G4" t="s">
        <v>138</v>
      </c>
      <c r="J4" s="39" t="s">
        <v>137</v>
      </c>
      <c r="K4" s="39"/>
      <c r="L4" s="39"/>
    </row>
    <row r="5" spans="3:12" x14ac:dyDescent="0.3">
      <c r="G5" t="s">
        <v>136</v>
      </c>
    </row>
    <row r="6" spans="3:12" x14ac:dyDescent="0.3">
      <c r="G6" t="s">
        <v>135</v>
      </c>
    </row>
    <row r="7" spans="3:12" x14ac:dyDescent="0.3">
      <c r="C7" t="s">
        <v>134</v>
      </c>
      <c r="J7" t="s">
        <v>133</v>
      </c>
    </row>
    <row r="9" spans="3:12" x14ac:dyDescent="0.3">
      <c r="C9" t="s">
        <v>132</v>
      </c>
      <c r="J9" t="s">
        <v>132</v>
      </c>
    </row>
    <row r="10" spans="3:12" x14ac:dyDescent="0.3">
      <c r="C10" s="30" t="s">
        <v>131</v>
      </c>
      <c r="J10" s="30" t="s">
        <v>130</v>
      </c>
    </row>
    <row r="11" spans="3:12" x14ac:dyDescent="0.3">
      <c r="C11" t="s">
        <v>129</v>
      </c>
      <c r="J11" t="s">
        <v>129</v>
      </c>
    </row>
    <row r="13" spans="3:12" x14ac:dyDescent="0.3">
      <c r="C13" t="s">
        <v>128</v>
      </c>
      <c r="J13" t="s">
        <v>127</v>
      </c>
    </row>
    <row r="35" spans="3:12" x14ac:dyDescent="0.3">
      <c r="C35" s="32" t="s">
        <v>99</v>
      </c>
      <c r="D35" s="34"/>
      <c r="E35" s="32" t="s">
        <v>98</v>
      </c>
      <c r="F35" s="34"/>
      <c r="G35" s="32" t="s">
        <v>97</v>
      </c>
      <c r="J35" t="s">
        <v>143</v>
      </c>
    </row>
    <row r="36" spans="3:12" x14ac:dyDescent="0.3">
      <c r="L36" t="s">
        <v>142</v>
      </c>
    </row>
    <row r="37" spans="3:12" x14ac:dyDescent="0.3">
      <c r="E37" t="s">
        <v>144</v>
      </c>
      <c r="J37" t="s">
        <v>145</v>
      </c>
    </row>
    <row r="38" spans="3:12" x14ac:dyDescent="0.3">
      <c r="C38" t="s">
        <v>146</v>
      </c>
      <c r="E38" t="s">
        <v>144</v>
      </c>
      <c r="G38" t="s">
        <v>147</v>
      </c>
      <c r="J38" t="s">
        <v>148</v>
      </c>
    </row>
    <row r="39" spans="3:12" x14ac:dyDescent="0.3">
      <c r="C39" s="33" t="s">
        <v>149</v>
      </c>
      <c r="E39" s="33" t="s">
        <v>150</v>
      </c>
      <c r="G39" s="33" t="s">
        <v>151</v>
      </c>
      <c r="J39" t="s">
        <v>152</v>
      </c>
    </row>
    <row r="40" spans="3:12" x14ac:dyDescent="0.3">
      <c r="C40" t="s">
        <v>153</v>
      </c>
      <c r="E40" t="s">
        <v>154</v>
      </c>
      <c r="G40" t="s">
        <v>155</v>
      </c>
    </row>
    <row r="41" spans="3:12" x14ac:dyDescent="0.3">
      <c r="G41" t="s">
        <v>155</v>
      </c>
    </row>
    <row r="42" spans="3:12" x14ac:dyDescent="0.3">
      <c r="J42" t="s">
        <v>22</v>
      </c>
    </row>
    <row r="43" spans="3:12" x14ac:dyDescent="0.3">
      <c r="J43" t="s">
        <v>22</v>
      </c>
    </row>
    <row r="44" spans="3:12" x14ac:dyDescent="0.3">
      <c r="C44" t="s">
        <v>156</v>
      </c>
      <c r="E44" t="s">
        <v>157</v>
      </c>
      <c r="G44" t="s">
        <v>158</v>
      </c>
      <c r="J44" t="s">
        <v>23</v>
      </c>
    </row>
    <row r="45" spans="3:12" x14ac:dyDescent="0.3">
      <c r="C45">
        <v>2</v>
      </c>
      <c r="E45">
        <v>0</v>
      </c>
      <c r="G45">
        <v>0</v>
      </c>
      <c r="J45" t="s">
        <v>24</v>
      </c>
    </row>
    <row r="46" spans="3:12" x14ac:dyDescent="0.3">
      <c r="C46">
        <v>1</v>
      </c>
      <c r="E46">
        <v>1</v>
      </c>
      <c r="G46">
        <v>1</v>
      </c>
    </row>
    <row r="47" spans="3:12" x14ac:dyDescent="0.3">
      <c r="C47">
        <v>0</v>
      </c>
      <c r="E47">
        <v>2</v>
      </c>
      <c r="G47">
        <v>0</v>
      </c>
      <c r="L47" t="s">
        <v>159</v>
      </c>
    </row>
    <row r="48" spans="3:12" x14ac:dyDescent="0.3">
      <c r="C48">
        <v>1</v>
      </c>
      <c r="E48">
        <v>1</v>
      </c>
    </row>
    <row r="49" spans="3:5" x14ac:dyDescent="0.3">
      <c r="C49">
        <v>2</v>
      </c>
      <c r="E49">
        <v>0</v>
      </c>
    </row>
  </sheetData>
  <mergeCells count="2">
    <mergeCell ref="C4:E4"/>
    <mergeCell ref="J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 1</vt:lpstr>
      <vt:lpstr>Ej 2</vt:lpstr>
      <vt:lpstr>Ej.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2020-09-15T22:28:54Z</dcterms:created>
  <dcterms:modified xsi:type="dcterms:W3CDTF">2022-05-08T10:21:56Z</dcterms:modified>
</cp:coreProperties>
</file>